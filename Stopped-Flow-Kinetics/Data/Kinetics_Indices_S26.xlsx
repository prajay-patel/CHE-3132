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dallas-my.sharepoint.com/personal/pmpatel_udallas_edu/Documents/Downloads/"/>
    </mc:Choice>
  </mc:AlternateContent>
  <xr:revisionPtr revIDLastSave="85" documentId="11_0B4A4BF36BFCDE89616BC7A6482420E873613FD7" xr6:coauthVersionLast="47" xr6:coauthVersionMax="47" xr10:uidLastSave="{67C8E88C-6DD3-4595-96EF-FD4EA7CD7066}"/>
  <bookViews>
    <workbookView xWindow="-120" yWindow="-120" windowWidth="30960" windowHeight="168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33" i="1" l="1"/>
  <c r="J32" i="1"/>
  <c r="J31" i="1"/>
  <c r="J30" i="1"/>
  <c r="J29" i="1"/>
  <c r="J28" i="1"/>
  <c r="J27" i="1"/>
  <c r="J25" i="1"/>
  <c r="J24" i="1"/>
  <c r="J23" i="1"/>
  <c r="J22" i="1"/>
  <c r="J21" i="1"/>
  <c r="J20" i="1"/>
  <c r="J18" i="1"/>
  <c r="J17" i="1"/>
  <c r="J16" i="1"/>
  <c r="J15" i="1"/>
  <c r="J14" i="1"/>
  <c r="J12" i="1"/>
  <c r="J11" i="1"/>
  <c r="J10" i="1"/>
  <c r="J9" i="1"/>
  <c r="J8" i="1"/>
  <c r="J6" i="1"/>
  <c r="K2" i="1" s="1"/>
  <c r="J5" i="1"/>
  <c r="J4" i="1"/>
  <c r="J3" i="1"/>
  <c r="J2" i="1"/>
  <c r="E33" i="1"/>
  <c r="E32" i="1"/>
  <c r="E31" i="1"/>
  <c r="E30" i="1"/>
  <c r="E29" i="1"/>
  <c r="E28" i="1"/>
  <c r="F27" i="1"/>
  <c r="E27" i="1"/>
  <c r="G27" i="1" s="1"/>
  <c r="E25" i="1"/>
  <c r="E24" i="1"/>
  <c r="E23" i="1"/>
  <c r="E22" i="1"/>
  <c r="G20" i="1" s="1"/>
  <c r="E21" i="1"/>
  <c r="F20" i="1"/>
  <c r="E20" i="1"/>
  <c r="E18" i="1"/>
  <c r="E17" i="1"/>
  <c r="F14" i="1" s="1"/>
  <c r="E16" i="1"/>
  <c r="E15" i="1"/>
  <c r="E14" i="1"/>
  <c r="G14" i="1" s="1"/>
  <c r="E12" i="1"/>
  <c r="E11" i="1"/>
  <c r="E10" i="1"/>
  <c r="G8" i="1" s="1"/>
  <c r="E9" i="1"/>
  <c r="E8" i="1"/>
  <c r="E6" i="1"/>
  <c r="E5" i="1"/>
  <c r="E4" i="1"/>
  <c r="E3" i="1"/>
  <c r="F2" i="1"/>
  <c r="E2" i="1"/>
  <c r="G2" i="1" s="1"/>
  <c r="L27" i="1" l="1"/>
  <c r="L20" i="1"/>
  <c r="L14" i="1"/>
  <c r="K14" i="1"/>
  <c r="K8" i="1"/>
  <c r="L8" i="1"/>
  <c r="K20" i="1"/>
  <c r="K27" i="1"/>
  <c r="L2" i="1"/>
  <c r="F8" i="1"/>
</calcChain>
</file>

<file path=xl/sharedStrings.xml><?xml version="1.0" encoding="utf-8"?>
<sst xmlns="http://schemas.openxmlformats.org/spreadsheetml/2006/main" count="35" uniqueCount="35">
  <si>
    <t>Data Set</t>
  </si>
  <si>
    <t>Start Index</t>
  </si>
  <si>
    <t>End Index</t>
  </si>
  <si>
    <t>kOBS</t>
  </si>
  <si>
    <t>25-1</t>
  </si>
  <si>
    <t>25-2</t>
  </si>
  <si>
    <t>25-3</t>
  </si>
  <si>
    <t>25-4</t>
  </si>
  <si>
    <t>25-5</t>
  </si>
  <si>
    <t>27-1</t>
  </si>
  <si>
    <t>27-2</t>
  </si>
  <si>
    <t>27-3</t>
  </si>
  <si>
    <t>27-4</t>
  </si>
  <si>
    <t>27-5</t>
  </si>
  <si>
    <t>30-1</t>
  </si>
  <si>
    <t>30-2</t>
  </si>
  <si>
    <t>30-3</t>
  </si>
  <si>
    <t>30-4</t>
  </si>
  <si>
    <t>30-5</t>
  </si>
  <si>
    <t>32-1</t>
  </si>
  <si>
    <t>32-2</t>
  </si>
  <si>
    <t>32-3</t>
  </si>
  <si>
    <t>32-4</t>
  </si>
  <si>
    <t>32-5</t>
  </si>
  <si>
    <t>32-6</t>
  </si>
  <si>
    <t>35-1</t>
  </si>
  <si>
    <t>35-2</t>
  </si>
  <si>
    <t>35-3</t>
  </si>
  <si>
    <t>35-4</t>
  </si>
  <si>
    <t>35-5</t>
  </si>
  <si>
    <t>35-6</t>
  </si>
  <si>
    <t>35-7</t>
  </si>
  <si>
    <t>kOBS (New)</t>
  </si>
  <si>
    <t>New Start Index</t>
  </si>
  <si>
    <t>New End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</si>
</sst>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zoomScaleNormal="100" workbookViewId="0">
      <selection activeCell="I20" sqref="I20:I25"/>
    </sheetView>
  </sheetViews>
  <sheetFormatPr defaultColWidth="11.5703125" defaultRowHeight="12.75" x14ac:dyDescent="0.2"/>
  <cols>
    <col min="6" max="6" width="5" customWidth="1"/>
    <col min="13" max="13" width="14.28515625" bestFit="1" customWidth="1"/>
    <col min="14" max="14" width="13.57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I1" t="s">
        <v>32</v>
      </c>
      <c r="M1" t="s">
        <v>33</v>
      </c>
      <c r="N1" t="s">
        <v>34</v>
      </c>
    </row>
    <row r="2" spans="1:14" x14ac:dyDescent="0.2">
      <c r="A2" t="s">
        <v>4</v>
      </c>
      <c r="B2" s="3">
        <v>265</v>
      </c>
      <c r="C2">
        <v>499</v>
      </c>
      <c r="D2">
        <v>3.1678000000000002</v>
      </c>
      <c r="E2">
        <f>LN(D2)</f>
        <v>1.1530373406461829</v>
      </c>
      <c r="F2" s="1">
        <f>AVERAGE(E2:E6)</f>
        <v>1.5428461645813154</v>
      </c>
      <c r="G2" s="1">
        <f>_xlfn.STDEV.S(E2:E6)</f>
        <v>0.32659680056265478</v>
      </c>
      <c r="I2">
        <v>18.906400000000001</v>
      </c>
      <c r="J2">
        <f>LN(I2)</f>
        <v>2.9395004890839393</v>
      </c>
      <c r="K2" s="1">
        <f>AVERAGE(J2:J6)</f>
        <v>2.8092061941684219</v>
      </c>
      <c r="L2" s="1">
        <f>_xlfn.STDEV.S(J2:J6)</f>
        <v>0.11417614782228111</v>
      </c>
    </row>
    <row r="3" spans="1:14" x14ac:dyDescent="0.2">
      <c r="A3" t="s">
        <v>5</v>
      </c>
      <c r="B3">
        <v>225</v>
      </c>
      <c r="C3">
        <v>410</v>
      </c>
      <c r="D3">
        <v>5.7272999999999996</v>
      </c>
      <c r="E3">
        <f>LN(D3)</f>
        <v>1.7452442154865861</v>
      </c>
      <c r="I3">
        <v>14.386699999999999</v>
      </c>
      <c r="J3">
        <f>LN(I3)</f>
        <v>2.6663041686792881</v>
      </c>
    </row>
    <row r="4" spans="1:14" x14ac:dyDescent="0.2">
      <c r="A4" t="s">
        <v>6</v>
      </c>
      <c r="B4">
        <v>275</v>
      </c>
      <c r="C4">
        <v>499</v>
      </c>
      <c r="D4">
        <v>5.6421000000000001</v>
      </c>
      <c r="E4">
        <f>LN(D4)</f>
        <v>1.7302563366340051</v>
      </c>
      <c r="I4">
        <v>17.229399999999998</v>
      </c>
      <c r="J4">
        <f>LN(I4)</f>
        <v>2.8466172269503351</v>
      </c>
    </row>
    <row r="5" spans="1:14" x14ac:dyDescent="0.2">
      <c r="A5" t="s">
        <v>7</v>
      </c>
      <c r="B5">
        <v>310</v>
      </c>
      <c r="C5">
        <v>499</v>
      </c>
      <c r="D5">
        <v>6.4108000000000001</v>
      </c>
      <c r="E5">
        <f>LN(D5)</f>
        <v>1.8579840681372832</v>
      </c>
      <c r="I5">
        <v>17.770700000000001</v>
      </c>
      <c r="J5">
        <f>LN(I5)</f>
        <v>2.8775510336248087</v>
      </c>
    </row>
    <row r="6" spans="1:14" x14ac:dyDescent="0.2">
      <c r="A6" t="s">
        <v>8</v>
      </c>
      <c r="B6">
        <v>250</v>
      </c>
      <c r="C6">
        <v>499</v>
      </c>
      <c r="D6">
        <v>3.4134000000000002</v>
      </c>
      <c r="E6">
        <f>LN(D6)</f>
        <v>1.2277088620025196</v>
      </c>
      <c r="I6">
        <v>15.1206</v>
      </c>
      <c r="J6">
        <f>LN(I6)</f>
        <v>2.7160580525037381</v>
      </c>
    </row>
    <row r="8" spans="1:14" x14ac:dyDescent="0.2">
      <c r="A8" t="s">
        <v>9</v>
      </c>
      <c r="B8">
        <v>250</v>
      </c>
      <c r="C8">
        <v>499</v>
      </c>
      <c r="D8">
        <v>4.1753</v>
      </c>
      <c r="E8">
        <f>LN(D8)</f>
        <v>1.4291862120087047</v>
      </c>
      <c r="F8" s="1">
        <f>AVERAGE(E8:E12)</f>
        <v>0.58969989940723799</v>
      </c>
      <c r="G8" s="1">
        <f>_xlfn.STDEV.S(E8:E12)</f>
        <v>0.75608381489204679</v>
      </c>
      <c r="I8">
        <v>15.473699999999999</v>
      </c>
      <c r="J8">
        <f>LN(I8)</f>
        <v>2.7391418085798835</v>
      </c>
      <c r="K8" s="1">
        <f>AVERAGE(J8:J12)</f>
        <v>2.9695303436394305</v>
      </c>
      <c r="L8" s="1">
        <f>_xlfn.STDEV.S(J8:J12)</f>
        <v>0.29788055290138643</v>
      </c>
    </row>
    <row r="9" spans="1:14" x14ac:dyDescent="0.2">
      <c r="A9" t="s">
        <v>10</v>
      </c>
      <c r="B9">
        <v>260</v>
      </c>
      <c r="C9">
        <v>450</v>
      </c>
      <c r="D9">
        <v>3.7736999999999998</v>
      </c>
      <c r="E9">
        <f>LN(D9)</f>
        <v>1.3280559525307993</v>
      </c>
      <c r="I9">
        <v>15.567299999999999</v>
      </c>
      <c r="J9">
        <f>LN(I9)</f>
        <v>2.7451725604039598</v>
      </c>
    </row>
    <row r="10" spans="1:14" x14ac:dyDescent="0.2">
      <c r="A10" t="s">
        <v>11</v>
      </c>
      <c r="B10">
        <v>205</v>
      </c>
      <c r="C10">
        <v>499</v>
      </c>
      <c r="D10">
        <v>0.76739999999999997</v>
      </c>
      <c r="E10">
        <f>LN(D10)</f>
        <v>-0.26474710116928507</v>
      </c>
      <c r="I10">
        <v>27.827000000000002</v>
      </c>
      <c r="J10">
        <f>LN(I10)</f>
        <v>3.3260067723862496</v>
      </c>
    </row>
    <row r="11" spans="1:14" x14ac:dyDescent="0.2">
      <c r="A11" t="s">
        <v>12</v>
      </c>
      <c r="B11">
        <v>230</v>
      </c>
      <c r="C11">
        <v>499</v>
      </c>
      <c r="D11">
        <v>1.4594</v>
      </c>
      <c r="E11">
        <f>LN(D11)</f>
        <v>0.37802539234938271</v>
      </c>
      <c r="I11">
        <v>26.133500000000002</v>
      </c>
      <c r="J11">
        <f>LN(I11)</f>
        <v>3.2632180162189366</v>
      </c>
    </row>
    <row r="12" spans="1:14" x14ac:dyDescent="0.2">
      <c r="A12" t="s">
        <v>13</v>
      </c>
      <c r="B12">
        <v>285</v>
      </c>
      <c r="C12">
        <v>499</v>
      </c>
      <c r="D12">
        <v>1.0810999999999999</v>
      </c>
      <c r="E12">
        <f>LN(D12)</f>
        <v>7.7979041316588601E-2</v>
      </c>
      <c r="I12">
        <v>16.0244</v>
      </c>
      <c r="J12">
        <f>LN(I12)</f>
        <v>2.7741125606081236</v>
      </c>
    </row>
    <row r="14" spans="1:14" x14ac:dyDescent="0.2">
      <c r="A14" t="s">
        <v>14</v>
      </c>
      <c r="B14">
        <v>200</v>
      </c>
      <c r="C14">
        <v>499</v>
      </c>
      <c r="D14">
        <v>1.0049999999999999</v>
      </c>
      <c r="E14">
        <f>LN(D14)</f>
        <v>4.9875415110389679E-3</v>
      </c>
      <c r="F14" s="1">
        <f>AVERAGE(E14:E18)</f>
        <v>0.5191326701025949</v>
      </c>
      <c r="G14" s="1">
        <f>_xlfn.STDEV.S(E14:E18)</f>
        <v>0.61525104274571552</v>
      </c>
      <c r="I14">
        <v>14.600899999999999</v>
      </c>
      <c r="J14">
        <f>LN(I14)</f>
        <v>2.681083170650004</v>
      </c>
      <c r="K14" s="1">
        <f>AVERAGE(J14:J18)</f>
        <v>3.1182956671705968</v>
      </c>
      <c r="L14" s="1">
        <f>_xlfn.STDEV.S(J14:J18)</f>
        <v>0.6455421871374929</v>
      </c>
    </row>
    <row r="15" spans="1:14" x14ac:dyDescent="0.2">
      <c r="A15" t="s">
        <v>15</v>
      </c>
      <c r="B15">
        <v>250</v>
      </c>
      <c r="C15">
        <v>499</v>
      </c>
      <c r="D15">
        <v>2.7113</v>
      </c>
      <c r="E15">
        <f>LN(D15)</f>
        <v>0.99742822466709413</v>
      </c>
      <c r="I15">
        <v>70.191000000000003</v>
      </c>
      <c r="J15">
        <f>LN(I15)</f>
        <v>4.2512200976845804</v>
      </c>
      <c r="M15" s="2"/>
    </row>
    <row r="16" spans="1:14" x14ac:dyDescent="0.2">
      <c r="A16" t="s">
        <v>16</v>
      </c>
      <c r="B16">
        <v>205</v>
      </c>
      <c r="C16">
        <v>499</v>
      </c>
      <c r="D16">
        <v>2.3967999999999998</v>
      </c>
      <c r="E16">
        <f>LN(D16)</f>
        <v>0.87413451434076317</v>
      </c>
      <c r="I16">
        <v>16.930700000000002</v>
      </c>
      <c r="J16">
        <f>LN(I16)</f>
        <v>2.8291285420120875</v>
      </c>
      <c r="M16">
        <v>200</v>
      </c>
    </row>
    <row r="17" spans="1:14" x14ac:dyDescent="0.2">
      <c r="A17" t="s">
        <v>17</v>
      </c>
      <c r="B17">
        <v>205</v>
      </c>
      <c r="C17">
        <v>499</v>
      </c>
      <c r="D17">
        <v>2.7433999999999998</v>
      </c>
      <c r="E17">
        <f>LN(D17)</f>
        <v>1.0091980270621694</v>
      </c>
      <c r="I17">
        <v>20.675999999999998</v>
      </c>
      <c r="J17">
        <f>LN(I17)</f>
        <v>3.0289736073337927</v>
      </c>
    </row>
    <row r="18" spans="1:14" x14ac:dyDescent="0.2">
      <c r="A18" t="s">
        <v>18</v>
      </c>
      <c r="B18">
        <v>230</v>
      </c>
      <c r="C18">
        <v>499</v>
      </c>
      <c r="D18">
        <v>0.74819999999999998</v>
      </c>
      <c r="E18">
        <f>LN(D18)</f>
        <v>-0.29008495706809134</v>
      </c>
      <c r="I18">
        <v>16.462299999999999</v>
      </c>
      <c r="J18">
        <f>LN(I18)</f>
        <v>2.8010729181725189</v>
      </c>
    </row>
    <row r="20" spans="1:14" x14ac:dyDescent="0.2">
      <c r="A20" t="s">
        <v>19</v>
      </c>
      <c r="B20">
        <v>225</v>
      </c>
      <c r="C20">
        <v>499</v>
      </c>
      <c r="D20">
        <v>3.4676999999999998</v>
      </c>
      <c r="E20">
        <f t="shared" ref="E20:E25" si="0">LN(D20)</f>
        <v>1.2434915499861943</v>
      </c>
      <c r="F20" s="1">
        <f>AVERAGE(E20:E25)</f>
        <v>0.83572754987043441</v>
      </c>
      <c r="G20" s="1">
        <f>_xlfn.STDEV.S(E20:E25)</f>
        <v>0.31922956975552214</v>
      </c>
      <c r="I20">
        <v>50.997500000000002</v>
      </c>
      <c r="J20">
        <f t="shared" ref="J20:J25" si="1">LN(I20)</f>
        <v>3.9317766119149824</v>
      </c>
      <c r="K20" s="1">
        <f>AVERAGE(J20:J25)</f>
        <v>3.4144360588417917</v>
      </c>
      <c r="L20" s="1">
        <f>_xlfn.STDEV.S(J20:J25)</f>
        <v>0.53188198197756298</v>
      </c>
      <c r="M20">
        <v>230</v>
      </c>
    </row>
    <row r="21" spans="1:14" x14ac:dyDescent="0.2">
      <c r="A21" t="s">
        <v>20</v>
      </c>
      <c r="B21">
        <v>235</v>
      </c>
      <c r="C21">
        <v>499</v>
      </c>
      <c r="D21">
        <v>2.0749</v>
      </c>
      <c r="E21">
        <f t="shared" si="0"/>
        <v>0.72991295975026838</v>
      </c>
      <c r="I21">
        <v>68.224199999999996</v>
      </c>
      <c r="J21">
        <f t="shared" si="1"/>
        <v>4.2227993406187272</v>
      </c>
      <c r="M21">
        <v>235</v>
      </c>
    </row>
    <row r="22" spans="1:14" x14ac:dyDescent="0.2">
      <c r="A22" t="s">
        <v>21</v>
      </c>
      <c r="B22">
        <v>220</v>
      </c>
      <c r="C22">
        <v>499</v>
      </c>
      <c r="D22">
        <v>2.5979000000000001</v>
      </c>
      <c r="E22">
        <f t="shared" si="0"/>
        <v>0.95470342636056849</v>
      </c>
      <c r="I22">
        <v>25.2073</v>
      </c>
      <c r="J22">
        <f t="shared" si="1"/>
        <v>3.2271336351071747</v>
      </c>
      <c r="M22">
        <v>225</v>
      </c>
    </row>
    <row r="23" spans="1:14" x14ac:dyDescent="0.2">
      <c r="A23" t="s">
        <v>22</v>
      </c>
      <c r="B23">
        <v>185</v>
      </c>
      <c r="C23">
        <v>499</v>
      </c>
      <c r="D23">
        <v>2.2685</v>
      </c>
      <c r="E23">
        <f t="shared" si="0"/>
        <v>0.81911882012188153</v>
      </c>
      <c r="I23">
        <v>19.446100000000001</v>
      </c>
      <c r="J23">
        <f t="shared" si="1"/>
        <v>2.9676465358199904</v>
      </c>
      <c r="N23">
        <v>300</v>
      </c>
    </row>
    <row r="24" spans="1:14" x14ac:dyDescent="0.2">
      <c r="A24" t="s">
        <v>23</v>
      </c>
      <c r="B24">
        <v>240</v>
      </c>
      <c r="C24">
        <v>499</v>
      </c>
      <c r="D24">
        <v>1.3366</v>
      </c>
      <c r="E24">
        <f t="shared" si="0"/>
        <v>0.29012907609483274</v>
      </c>
      <c r="I24">
        <v>23.747</v>
      </c>
      <c r="J24">
        <f t="shared" si="1"/>
        <v>3.1674562067126653</v>
      </c>
      <c r="M24">
        <v>245</v>
      </c>
    </row>
    <row r="25" spans="1:14" x14ac:dyDescent="0.2">
      <c r="A25" t="s">
        <v>24</v>
      </c>
      <c r="B25">
        <v>230</v>
      </c>
      <c r="C25">
        <v>499</v>
      </c>
      <c r="D25">
        <v>2.6564999999999999</v>
      </c>
      <c r="E25">
        <f t="shared" si="0"/>
        <v>0.97700946690886081</v>
      </c>
      <c r="I25">
        <v>19.488099999999999</v>
      </c>
      <c r="J25">
        <f t="shared" si="1"/>
        <v>2.9698040228772111</v>
      </c>
      <c r="N25">
        <v>300</v>
      </c>
    </row>
    <row r="26" spans="1:14" x14ac:dyDescent="0.2">
      <c r="F26" s="1"/>
      <c r="G26" s="1"/>
      <c r="K26" s="1"/>
      <c r="L26" s="1"/>
    </row>
    <row r="27" spans="1:14" x14ac:dyDescent="0.2">
      <c r="A27" t="s">
        <v>25</v>
      </c>
      <c r="B27">
        <v>195</v>
      </c>
      <c r="C27">
        <v>499</v>
      </c>
      <c r="D27">
        <v>2.5387</v>
      </c>
      <c r="E27">
        <f t="shared" ref="E27:E33" si="2">LN(D27)</f>
        <v>0.93165213898685428</v>
      </c>
      <c r="F27" s="1">
        <f>AVERAGE(E27:E33)</f>
        <v>1.3638150193691299</v>
      </c>
      <c r="G27" s="1">
        <f>_xlfn.STDEV.S(E27:E33)</f>
        <v>0.30935443000011847</v>
      </c>
      <c r="I27">
        <v>20.352799999999998</v>
      </c>
      <c r="J27">
        <f t="shared" ref="J27:J33" si="3">LN(I27)</f>
        <v>3.0132184945612659</v>
      </c>
      <c r="K27" s="1">
        <f>AVERAGE(J27:J33)</f>
        <v>3.5994305445697128</v>
      </c>
      <c r="L27" s="1">
        <f>_xlfn.STDEV.S(J27:J33)</f>
        <v>0.62482620487005769</v>
      </c>
    </row>
    <row r="28" spans="1:14" x14ac:dyDescent="0.2">
      <c r="A28" t="s">
        <v>26</v>
      </c>
      <c r="B28">
        <v>200</v>
      </c>
      <c r="C28">
        <v>499</v>
      </c>
      <c r="D28">
        <v>3.464</v>
      </c>
      <c r="E28">
        <f t="shared" si="2"/>
        <v>1.2424239907001886</v>
      </c>
      <c r="I28">
        <v>19.953600000000002</v>
      </c>
      <c r="J28">
        <f t="shared" si="3"/>
        <v>2.9934095781843455</v>
      </c>
      <c r="M28">
        <v>210</v>
      </c>
    </row>
    <row r="29" spans="1:14" x14ac:dyDescent="0.2">
      <c r="A29" t="s">
        <v>27</v>
      </c>
      <c r="B29">
        <v>245</v>
      </c>
      <c r="C29">
        <v>499</v>
      </c>
      <c r="D29">
        <v>2.9561000000000002</v>
      </c>
      <c r="E29">
        <f t="shared" si="2"/>
        <v>1.0838708320130741</v>
      </c>
      <c r="I29">
        <v>17.566299999999998</v>
      </c>
      <c r="J29">
        <f t="shared" si="3"/>
        <v>2.8659822937960904</v>
      </c>
    </row>
    <row r="30" spans="1:14" x14ac:dyDescent="0.2">
      <c r="A30" t="s">
        <v>28</v>
      </c>
      <c r="B30">
        <v>295</v>
      </c>
      <c r="C30">
        <v>499</v>
      </c>
      <c r="D30">
        <v>3.6328</v>
      </c>
      <c r="E30">
        <f t="shared" si="2"/>
        <v>1.2900037008016043</v>
      </c>
      <c r="I30">
        <v>49.249699999999997</v>
      </c>
      <c r="J30">
        <f t="shared" si="3"/>
        <v>3.8969032762289868</v>
      </c>
      <c r="M30">
        <v>300</v>
      </c>
    </row>
    <row r="31" spans="1:14" x14ac:dyDescent="0.2">
      <c r="A31" t="s">
        <v>29</v>
      </c>
      <c r="B31">
        <v>360</v>
      </c>
      <c r="C31">
        <v>499</v>
      </c>
      <c r="D31">
        <v>5.8341000000000003</v>
      </c>
      <c r="E31">
        <f t="shared" si="2"/>
        <v>1.7637200121968093</v>
      </c>
      <c r="I31">
        <v>51.714799999999997</v>
      </c>
      <c r="J31">
        <f t="shared" si="3"/>
        <v>3.9457440074723902</v>
      </c>
    </row>
    <row r="32" spans="1:14" x14ac:dyDescent="0.2">
      <c r="A32" t="s">
        <v>30</v>
      </c>
      <c r="B32">
        <v>355</v>
      </c>
      <c r="C32">
        <v>499</v>
      </c>
      <c r="D32">
        <v>5.0949</v>
      </c>
      <c r="E32">
        <f t="shared" si="2"/>
        <v>1.6282400393966965</v>
      </c>
      <c r="I32">
        <v>58.097999999999999</v>
      </c>
      <c r="J32">
        <f t="shared" si="3"/>
        <v>4.0621312398574494</v>
      </c>
      <c r="M32">
        <v>360</v>
      </c>
    </row>
    <row r="33" spans="1:10" x14ac:dyDescent="0.2">
      <c r="A33" t="s">
        <v>31</v>
      </c>
      <c r="B33">
        <v>375</v>
      </c>
      <c r="C33">
        <v>499</v>
      </c>
      <c r="D33">
        <v>4.9867999999999997</v>
      </c>
      <c r="E33">
        <f t="shared" si="2"/>
        <v>1.6067944214886827</v>
      </c>
      <c r="I33">
        <v>82.982100000000003</v>
      </c>
      <c r="J33">
        <f t="shared" si="3"/>
        <v>4.4186249218874618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Prajay M. Patel</cp:lastModifiedBy>
  <cp:revision>2</cp:revision>
  <dcterms:created xsi:type="dcterms:W3CDTF">2026-04-20T15:43:42Z</dcterms:created>
  <dcterms:modified xsi:type="dcterms:W3CDTF">2026-04-23T01:15:08Z</dcterms:modified>
  <dc:language>en-US</dc:language>
</cp:coreProperties>
</file>